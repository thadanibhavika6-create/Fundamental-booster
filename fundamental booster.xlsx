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832df163a584ae/Documents/Desktop/"/>
    </mc:Choice>
  </mc:AlternateContent>
  <xr:revisionPtr revIDLastSave="0" documentId="14_{C66DAF82-FB8E-4979-B592-B9A18CD1133F}" xr6:coauthVersionLast="47" xr6:coauthVersionMax="47" xr10:uidLastSave="{00000000-0000-0000-0000-000000000000}"/>
  <bookViews>
    <workbookView xWindow="-110" yWindow="-110" windowWidth="19420" windowHeight="10300" xr2:uid="{7EFE02AD-1392-47CF-90F4-4D6804D4C785}"/>
  </bookViews>
  <sheets>
    <sheet name="students grade" sheetId="1" r:id="rId1"/>
    <sheet name="sale data" sheetId="2" r:id="rId2"/>
    <sheet name="Employee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3" l="1"/>
  <c r="I19" i="3"/>
  <c r="I15" i="3"/>
  <c r="L11" i="3"/>
  <c r="L10" i="3"/>
  <c r="L5" i="3"/>
  <c r="L4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2" i="3"/>
  <c r="M12" i="2" a="1"/>
  <c r="M4" i="2"/>
  <c r="M20" i="2"/>
  <c r="M16" i="2"/>
  <c r="M8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O5" i="1"/>
  <c r="O14" i="1"/>
  <c r="O10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H2" i="1"/>
  <c r="G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<sst xmlns="http://schemas.openxmlformats.org/spreadsheetml/2006/main" count="197" uniqueCount="139">
  <si>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</si>
  <si>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</si>
  <si>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</si>
  <si>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</si>
  <si>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</si>
  <si>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</si>
  <si>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</si>
  <si>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</si>
  <si>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</si>
  <si>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</si>
  <si>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</si>
  <si>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</si>
  <si>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</si>
  <si>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</si>
  <si>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</si>
  <si>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</si>
  <si>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</si>
  <si>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</si>
  <si>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</si>
  <si>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</si>
  <si>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</si>
  <si>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</si>
  <si>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</si>
  <si>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</si>
  <si>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</si>
  <si>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</si>
  <si>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</si>
  <si>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</si>
  <si>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</si>
  <si>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</si>
  <si>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</si>
  <si>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</si>
  <si>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</si>
  <si>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</si>
  <si>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</si>
  <si>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</si>
  <si>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</si>
  <si>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</si>
  <si>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</si>
  <si>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</si>
  <si>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</si>
  <si>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</si>
  <si>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</si>
  <si>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</si>
  <si>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</si>
  <si>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</si>
  <si>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</si>
  <si>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</si>
  <si>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</si>
  <si>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</si>
  <si>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</si>
  <si>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</si>
  <si>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</si>
  <si>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</si>
  <si>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</si>
  <si>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</si>
  <si>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</si>
  <si>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</si>
  <si>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</si>
  <si>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</si>
  <si>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</si>
  <si>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</si>
  <si>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</si>
  <si>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</si>
  <si>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</si>
  <si>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</si>
  <si>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</si>
  <si>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</si>
  <si>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</si>
  <si>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</si>
  <si>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</si>
  <si>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</si>
  <si>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</si>
  <si>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</si>
  <si>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</si>
  <si>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</si>
  <si>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</si>
  <si>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</si>
  <si>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</si>
  <si>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</si>
  <si>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</si>
  <si>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</si>
  <si>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</si>
  <si>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</si>
  <si>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</si>
  <si>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</si>
  <si>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</si>
  <si>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</si>
  <si>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</si>
  <si>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RELATIVE REFERNCES</t>
  </si>
  <si>
    <t>Absolute Reference</t>
  </si>
  <si>
    <t>Grade</t>
  </si>
  <si>
    <t>Date of birth</t>
  </si>
  <si>
    <t>Score</t>
  </si>
  <si>
    <t>Total marks</t>
  </si>
  <si>
    <t>percantage</t>
  </si>
  <si>
    <t>The number of students who scored above 50 in Math.</t>
  </si>
  <si>
    <t>Calculate the average score for students who scored above 60.</t>
  </si>
  <si>
    <t>Fetch student names based on ID from a separate dataset.</t>
  </si>
  <si>
    <t>Extract a list of top-performing students based on scores.</t>
  </si>
  <si>
    <t>Discount Rate</t>
  </si>
  <si>
    <t>Sum total sales for a specific region and product.</t>
  </si>
  <si>
    <t>Product Code</t>
  </si>
  <si>
    <t>PC101</t>
  </si>
  <si>
    <t>PC102</t>
  </si>
  <si>
    <t>PC103</t>
  </si>
  <si>
    <t>PC104</t>
  </si>
  <si>
    <t>PC105</t>
  </si>
  <si>
    <t>PC106</t>
  </si>
  <si>
    <t>PC107</t>
  </si>
  <si>
    <t>PC108</t>
  </si>
  <si>
    <t>PC109</t>
  </si>
  <si>
    <t>PC110</t>
  </si>
  <si>
    <t>PC111</t>
  </si>
  <si>
    <t>PC112</t>
  </si>
  <si>
    <t>PC113</t>
  </si>
  <si>
    <t>PC114</t>
  </si>
  <si>
    <t>PC115</t>
  </si>
  <si>
    <t>PC116</t>
  </si>
  <si>
    <t>PC117</t>
  </si>
  <si>
    <t>PC118</t>
  </si>
  <si>
    <t>PC119</t>
  </si>
  <si>
    <t>PC120</t>
  </si>
  <si>
    <t>Discount Type</t>
  </si>
  <si>
    <t>Month</t>
  </si>
  <si>
    <t>Retrieve product prices based on product codes.</t>
  </si>
  <si>
    <t>Find sales values for a specific salesperson in a specific month.</t>
  </si>
  <si>
    <t>Search for salesperson performance based on flexible search criteria.</t>
  </si>
  <si>
    <t>Find the position of a product in a sales list.</t>
  </si>
  <si>
    <t>Working Days</t>
  </si>
  <si>
    <t>Extract the first name from full names using LEFT and FIND.</t>
  </si>
  <si>
    <t>LEFT</t>
  </si>
  <si>
    <t>FIND</t>
  </si>
  <si>
    <t>Convert names to uppercase/lowercase using UPPER(), LOWER().</t>
  </si>
  <si>
    <t>UPPER</t>
  </si>
  <si>
    <t>LOWER</t>
  </si>
  <si>
    <t>Look up employee details dynamically without column restrictions.</t>
  </si>
  <si>
    <t>Find employee salaries without worrying about sorted data.</t>
  </si>
  <si>
    <t>Dynamically reference a cell range using INDIRECT.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</si>
</sst>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ID-&quot;0000"/>
  </numFmts>
  <fonts count="21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rgb="FF000000"/>
      <name val="Aptos Narrow"/>
      <family val="2"/>
    </font>
    <font>
      <sz val="7"/>
      <color rgb="FF242424"/>
      <name val="Consolas"/>
      <family val="3"/>
    </font>
    <font>
      <sz val="11"/>
      <name val="Consolas"/>
      <family val="3"/>
    </font>
    <font>
      <sz val="16"/>
      <color theme="0"/>
      <name val="Aptos Narrow"/>
      <family val="2"/>
    </font>
    <font>
      <sz val="11"/>
      <color theme="0"/>
      <name val="Aptos Narrow"/>
      <family val="2"/>
    </font>
    <font>
      <b/>
      <sz val="18"/>
      <color rgb="FF242424"/>
      <name val="Consolas"/>
      <family val="3"/>
    </font>
    <font>
      <b/>
      <sz val="11"/>
      <color rgb="FF000000"/>
      <name val="Aptos Narrow"/>
      <family val="2"/>
    </font>
    <font>
      <b/>
      <sz val="16"/>
      <color rgb="FF242424"/>
      <name val="Consolas"/>
      <family val="3"/>
    </font>
    <font>
      <sz val="16"/>
      <color rgb="FF242424"/>
      <name val="Consolas"/>
      <family val="3"/>
    </font>
    <font>
      <sz val="11"/>
      <color rgb="FF242424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0"/>
      <name val="Aptos Narrow"/>
      <family val="2"/>
    </font>
    <font>
      <sz val="16"/>
      <color rgb="FF242424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2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5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0" fillId="0" borderId="5" xfId="0" applyBorder="1"/>
    <xf numFmtId="0" fontId="0" fillId="0" borderId="9" xfId="0" applyBorder="1"/>
    <xf numFmtId="14" fontId="0" fillId="0" borderId="8" xfId="0" applyNumberFormat="1" applyBorder="1"/>
    <xf numFmtId="14" fontId="0" fillId="0" borderId="5" xfId="0" applyNumberFormat="1" applyBorder="1"/>
    <xf numFmtId="14" fontId="0" fillId="0" borderId="9" xfId="0" applyNumberFormat="1" applyBorder="1"/>
    <xf numFmtId="165" fontId="3" fillId="2" borderId="6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4" fontId="3" fillId="2" borderId="7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0" xfId="0" applyFill="1"/>
    <xf numFmtId="0" fontId="3" fillId="2" borderId="4" xfId="0" applyFont="1" applyFill="1" applyBorder="1" applyAlignment="1">
      <alignment wrapText="1"/>
    </xf>
    <xf numFmtId="0" fontId="6" fillId="0" borderId="0" xfId="0" applyFont="1"/>
    <xf numFmtId="0" fontId="7" fillId="0" borderId="5" xfId="0" applyFont="1" applyBorder="1" applyAlignment="1">
      <alignment horizontal="left" vertical="center"/>
    </xf>
    <xf numFmtId="0" fontId="7" fillId="0" borderId="5" xfId="0" applyFont="1" applyBorder="1"/>
    <xf numFmtId="0" fontId="7" fillId="0" borderId="0" xfId="0" applyFont="1"/>
    <xf numFmtId="0" fontId="4" fillId="3" borderId="0" xfId="0" applyFont="1" applyFill="1"/>
    <xf numFmtId="0" fontId="8" fillId="3" borderId="0" xfId="0" applyFont="1" applyFill="1"/>
    <xf numFmtId="0" fontId="9" fillId="3" borderId="0" xfId="0" applyFont="1" applyFill="1"/>
    <xf numFmtId="1" fontId="10" fillId="4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11" fillId="5" borderId="0" xfId="0" applyFont="1" applyFill="1"/>
    <xf numFmtId="0" fontId="1" fillId="2" borderId="3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165" fontId="0" fillId="0" borderId="17" xfId="0" applyNumberFormat="1" applyBorder="1" applyAlignment="1">
      <alignment horizontal="center" vertical="center" wrapText="1"/>
    </xf>
    <xf numFmtId="14" fontId="0" fillId="0" borderId="18" xfId="0" applyNumberFormat="1" applyBorder="1" applyAlignment="1">
      <alignment horizontal="center" vertical="center" wrapText="1"/>
    </xf>
    <xf numFmtId="0" fontId="14" fillId="0" borderId="5" xfId="0" applyFont="1" applyBorder="1"/>
    <xf numFmtId="165" fontId="1" fillId="2" borderId="16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/>
    <xf numFmtId="0" fontId="10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164" fontId="0" fillId="0" borderId="5" xfId="0" applyNumberFormat="1" applyBorder="1" applyAlignment="1">
      <alignment horizontal="center" vertical="center" wrapText="1"/>
    </xf>
    <xf numFmtId="165" fontId="0" fillId="0" borderId="10" xfId="0" applyNumberFormat="1" applyBorder="1" applyAlignment="1">
      <alignment horizontal="center" vertical="center" wrapText="1"/>
    </xf>
    <xf numFmtId="0" fontId="14" fillId="0" borderId="11" xfId="0" applyFont="1" applyBorder="1"/>
    <xf numFmtId="165" fontId="0" fillId="0" borderId="14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14" fillId="0" borderId="15" xfId="0" applyFont="1" applyBorder="1"/>
    <xf numFmtId="165" fontId="1" fillId="2" borderId="12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14" fontId="1" fillId="2" borderId="8" xfId="0" applyNumberFormat="1" applyFont="1" applyFill="1" applyBorder="1" applyAlignment="1">
      <alignment horizontal="center" vertical="center" wrapText="1"/>
    </xf>
    <xf numFmtId="0" fontId="0" fillId="2" borderId="13" xfId="0" applyFill="1" applyBorder="1"/>
    <xf numFmtId="0" fontId="16" fillId="3" borderId="0" xfId="0" applyFont="1" applyFill="1"/>
    <xf numFmtId="0" fontId="17" fillId="3" borderId="0" xfId="0" applyFont="1" applyFill="1"/>
    <xf numFmtId="0" fontId="5" fillId="5" borderId="5" xfId="0" applyFont="1" applyFill="1" applyBorder="1" applyAlignment="1">
      <alignment horizontal="center"/>
    </xf>
    <xf numFmtId="0" fontId="18" fillId="4" borderId="5" xfId="0" applyFont="1" applyFill="1" applyBorder="1"/>
    <xf numFmtId="0" fontId="19" fillId="4" borderId="5" xfId="0" applyFont="1" applyFill="1" applyBorder="1"/>
    <xf numFmtId="0" fontId="18" fillId="4" borderId="5" xfId="0" applyFont="1" applyFill="1" applyBorder="1" applyAlignment="1">
      <alignment horizontal="left"/>
    </xf>
    <xf numFmtId="0" fontId="20" fillId="4" borderId="0" xfId="0" applyFont="1" applyFill="1" applyAlignment="1">
      <alignment horizontal="center"/>
    </xf>
  </cellXfs>
  <cellStyles count="1">
    <cellStyle name="Normal" xfId="0" builtinId="0"/>
  </cellStyles>
  <dxfs count="38">
    <dxf>
      <fill>
        <patternFill>
          <fgColor indexed="6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ID-&quot;0000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000000"/>
        </bottom>
        <vertical/>
        <horizontal/>
      </border>
    </dxf>
    <dxf>
      <numFmt numFmtId="164" formatCode="&quot;₹&quot;\ #,##0.00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numFmt numFmtId="165" formatCode="&quot;ID-&quot;0000"/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left style="medium">
          <color rgb="FF000000"/>
        </left>
      </border>
    </dxf>
    <dxf>
      <font>
        <b val="0"/>
      </font>
      <fill>
        <patternFill patternType="solid">
          <fgColor indexed="64"/>
          <bgColor theme="4"/>
        </patternFill>
      </fill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ID-&quot;00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4E627A-5C89-46F5-8BF1-D51DB2D20DD1}" name="Table1" displayName="Table1" ref="A1:M21" totalsRowShown="0" headerRowDxfId="23" tableBorderDxfId="37">
  <autoFilter ref="A1:M21" xr:uid="{2F4E627A-5C89-46F5-8BF1-D51DB2D20DD1}"/>
  <tableColumns count="13">
    <tableColumn id="1" xr3:uid="{04C826D1-4CB7-41E9-A045-5E107F1AC504}" name="Student ID" dataDxfId="36"/>
    <tableColumn id="2" xr3:uid="{E94E7DFB-A777-4D28-8D9A-F3739BB62DDD}" name="Name" dataDxfId="35"/>
    <tableColumn id="3" xr3:uid="{54C1165E-7E3C-4024-B91F-9B5F41B1BCC9}" name="Math" dataDxfId="34"/>
    <tableColumn id="4" xr3:uid="{AAC878F4-7ED1-4F1B-9753-E5A26CC65F97}" name="Science" dataDxfId="33"/>
    <tableColumn id="5" xr3:uid="{F48A23B2-AAEE-4A0E-861F-13501004A577}" name="English" dataDxfId="32"/>
    <tableColumn id="6" xr3:uid="{7FD7742D-A50D-4402-AFA4-924F65E070EE}" name="Enrollment Date" dataDxfId="31"/>
    <tableColumn id="7" xr3:uid="{BB2D0184-DAB8-488C-97A4-6AB82B61D0DC}" name="RELATIVE REFERNCES" dataDxfId="30">
      <calculatedColumnFormula>C2</calculatedColumnFormula>
    </tableColumn>
    <tableColumn id="8" xr3:uid="{22F6E060-2E44-445D-B9D7-5F8874C7711E}" name="Absolute Reference" dataDxfId="29"/>
    <tableColumn id="9" xr3:uid="{C7BD2D75-0554-4437-9793-F96E5717049A}" name="Grade" dataDxfId="28">
      <calculatedColumnFormula>IF(AVERAGE(C2:E2)&gt;=90,"A",IF(AVERAGE(C2:E2)&gt;=80,"B",IF(AVERAGE(C2:E2)&gt;=70,"C",IF(AVERAGE(C2:E2)&gt;=60,"D","F"))))</calculatedColumnFormula>
    </tableColumn>
    <tableColumn id="10" xr3:uid="{B5C937C0-A326-474C-A8B1-8A81CC37BF52}" name="Date of birth" dataDxfId="27"/>
    <tableColumn id="11" xr3:uid="{7CE050E1-17BF-413D-B28F-29AEED36DBE6}" name="Score" dataDxfId="26">
      <calculatedColumnFormula>IF(AND(C2&gt;80,D2&gt;80),"Top Student","Normal")</calculatedColumnFormula>
    </tableColumn>
    <tableColumn id="12" xr3:uid="{FCE4CC13-1EC7-4374-AAAC-F0A0EC06303A}" name="Total marks" dataDxfId="25">
      <calculatedColumnFormula>C2+D2+E2</calculatedColumnFormula>
    </tableColumn>
    <tableColumn id="13" xr3:uid="{658FB03E-E9F1-474D-AB24-2804585CED8D}" name="percantage" dataDxfId="24">
      <calculatedColumnFormula>(C2+D2+E2)/300*100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CFC5D7-6FAC-4C7E-BC8C-9973403F645E}" name="Table4" displayName="Table4" ref="A1:J21" totalsRowShown="0" headerRowDxfId="10" dataDxfId="11" tableBorderDxfId="22">
  <autoFilter ref="A1:J21" xr:uid="{49CFC5D7-6FAC-4C7E-BC8C-9973403F645E}"/>
  <tableColumns count="10">
    <tableColumn id="1" xr3:uid="{66C38BD7-8DE2-4603-B4DA-260A5BBCAAED}" name="Sales ID" dataDxfId="21"/>
    <tableColumn id="2" xr3:uid="{C925B6E2-F82D-4966-BEE1-91FAD2CFB3FE}" name="Product Code" dataDxfId="20"/>
    <tableColumn id="3" xr3:uid="{54AB0AE7-B38F-4A9B-B2CB-CD7000FDBF4E}" name="Product" dataDxfId="19"/>
    <tableColumn id="4" xr3:uid="{810CD57B-2F83-41B8-8860-8954DD120708}" name="Region" dataDxfId="18"/>
    <tableColumn id="5" xr3:uid="{47A3BEC6-1892-4E09-820D-D58E43822010}" name="Salesperson" dataDxfId="17"/>
    <tableColumn id="6" xr3:uid="{71C2B147-4F73-445C-B531-D2F1E8D846C4}" name="Amount" dataDxfId="16"/>
    <tableColumn id="7" xr3:uid="{4DEE5B7B-C958-499F-8731-8B4BFE905D3A}" name="Date" dataDxfId="15"/>
    <tableColumn id="8" xr3:uid="{2A71447C-5084-4141-B72B-8BCDF45D3FA1}" name="Discount Rate" dataDxfId="14">
      <calculatedColumnFormula>IF(F2&gt;=40000,"20%",IF(F2&gt;=20000,"10%",IF(F2&gt;=10000,"5%","No Discount")))</calculatedColumnFormula>
    </tableColumn>
    <tableColumn id="9" xr3:uid="{859FD777-FFD8-49F7-B8D8-263F6105CC3D}" name="Discount Type" dataDxfId="13">
      <calculatedColumnFormula>IF(OR(F2&gt;7500,F2=7500),"Eligible","Not Eligible")</calculatedColumnFormula>
    </tableColumn>
    <tableColumn id="10" xr3:uid="{B79A3BDF-9B76-4B5D-96DE-31E5410B8174}" name="Month" dataDxfId="12">
      <calculatedColumnFormula>TEXT(F2,"mmm")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6323DF-DBC5-4FC0-BC03-E29B3D77B228}" name="Table5" displayName="Table5" ref="A1:F21" totalsRowShown="0" headerRowDxfId="0" headerRowBorderDxfId="8" tableBorderDxfId="9" totalsRowBorderDxfId="7">
  <autoFilter ref="A1:F21" xr:uid="{756323DF-DBC5-4FC0-BC03-E29B3D77B228}"/>
  <tableColumns count="6">
    <tableColumn id="1" xr3:uid="{508FCB80-4615-47A2-A058-069AFF684E51}" name="Employee ID" dataDxfId="6"/>
    <tableColumn id="2" xr3:uid="{A7DD52F0-EF43-4ABD-A6D1-2BA74DA07266}" name="Name" dataDxfId="5"/>
    <tableColumn id="3" xr3:uid="{7D73846B-25ED-4F07-B8B0-147D1FD9F5D4}" name="Department" dataDxfId="4"/>
    <tableColumn id="4" xr3:uid="{703EACD8-1EF7-4AF9-A66A-0DF2003A48CC}" name="Salary" dataDxfId="3"/>
    <tableColumn id="5" xr3:uid="{EA9D7065-CF30-4B1A-9722-C0690BD9F07B}" name="Joining Date" dataDxfId="2"/>
    <tableColumn id="6" xr3:uid="{166A2D37-FDD1-4D59-A44A-5A17308A043A}" name="Working Day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41448-415E-4820-8207-D3EA24809F8D}">
  <dimension ref="A1:W27"/>
  <sheetViews>
    <sheetView tabSelected="1" topLeftCell="K2" workbookViewId="0">
      <selection activeCell="AB4" sqref="AB4"/>
    </sheetView>
  </sheetViews>
  <sheetFormatPr defaultRowHeight="14.5" x14ac:dyDescent="0.35"/>
  <cols>
    <col min="1" max="1" width="12.08984375" customWidth="1"/>
    <col min="2" max="2" width="10" customWidth="1"/>
    <col min="4" max="4" width="9.26953125" customWidth="1"/>
    <col min="5" max="5" width="9.1796875" customWidth="1"/>
    <col min="6" max="6" width="17" customWidth="1"/>
    <col min="7" max="7" width="17.36328125" customWidth="1"/>
    <col min="8" max="8" width="12.6328125" customWidth="1"/>
    <col min="9" max="9" width="8.90625" customWidth="1"/>
    <col min="10" max="10" width="13.81640625" bestFit="1" customWidth="1"/>
    <col min="12" max="12" width="13" bestFit="1" customWidth="1"/>
    <col min="13" max="13" width="12.90625" bestFit="1" customWidth="1"/>
    <col min="15" max="15" width="8.36328125" customWidth="1"/>
    <col min="16" max="16" width="10.08984375" customWidth="1"/>
    <col min="17" max="17" width="9.81640625" customWidth="1"/>
  </cols>
  <sheetData>
    <row r="1" spans="1:23" ht="25.5" customHeight="1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4" t="s">
        <v>89</v>
      </c>
      <c r="H1" s="15" t="s">
        <v>90</v>
      </c>
      <c r="I1" s="16" t="s">
        <v>91</v>
      </c>
      <c r="J1" s="15" t="s">
        <v>92</v>
      </c>
      <c r="K1" s="15" t="s">
        <v>93</v>
      </c>
      <c r="L1" s="15" t="s">
        <v>94</v>
      </c>
      <c r="M1" s="15" t="s">
        <v>95</v>
      </c>
    </row>
    <row r="2" spans="1:23" ht="23" customHeight="1" x14ac:dyDescent="0.35">
      <c r="A2" s="3">
        <v>1001</v>
      </c>
      <c r="B2" s="4" t="s">
        <v>6</v>
      </c>
      <c r="C2" s="4">
        <v>61</v>
      </c>
      <c r="D2" s="4">
        <v>48</v>
      </c>
      <c r="E2" s="4">
        <v>76</v>
      </c>
      <c r="F2" s="5">
        <v>43101</v>
      </c>
      <c r="G2" s="6">
        <f>C2</f>
        <v>61</v>
      </c>
      <c r="H2" s="6">
        <f>$C$2</f>
        <v>61</v>
      </c>
      <c r="I2" s="6" t="str">
        <f>IF(AVERAGE(C2:E2)&gt;=90,"A",IF(AVERAGE(C2:E2)&gt;=80,"B",IF(AVERAGE(C2:E2)&gt;=70,"C",IF(AVERAGE(C2:E2)&gt;=60,"D","F"))))</f>
        <v>D</v>
      </c>
      <c r="J2" s="8">
        <v>36753</v>
      </c>
      <c r="K2" s="18" t="str">
        <f t="shared" ref="K2:K21" si="0">IF(AND(C2&gt;80,D2&gt;80),"Top Student","Normal")</f>
        <v>Normal</v>
      </c>
      <c r="L2" s="19">
        <f t="shared" ref="L2:L21" si="1">C2+D2+E2</f>
        <v>185</v>
      </c>
      <c r="M2" s="20">
        <f t="shared" ref="M2:M21" si="2">(C2+D2+E2)/300*100</f>
        <v>61.666666666666671</v>
      </c>
    </row>
    <row r="3" spans="1:23" x14ac:dyDescent="0.35">
      <c r="A3" s="3">
        <v>1002</v>
      </c>
      <c r="B3" s="4" t="s">
        <v>7</v>
      </c>
      <c r="C3" s="4">
        <v>78</v>
      </c>
      <c r="D3" s="4">
        <v>76</v>
      </c>
      <c r="E3" s="4">
        <v>70</v>
      </c>
      <c r="F3" s="5">
        <v>43281</v>
      </c>
      <c r="G3" s="6">
        <f t="shared" ref="G3:G21" si="3">C3</f>
        <v>78</v>
      </c>
      <c r="H3" s="6">
        <f>$C$3</f>
        <v>78</v>
      </c>
      <c r="I3" s="6" t="str">
        <f t="shared" ref="I3:I21" si="4">IF(AVERAGE(C3:E3)&gt;=90,"A",IF(AVERAGE(C3:E3)&gt;=80,"B",IF(AVERAGE(C3:E3)&gt;=70,"C",IF(AVERAGE(C3:E3)&gt;=60,"D","F"))))</f>
        <v>C</v>
      </c>
      <c r="J3" s="9">
        <v>36962</v>
      </c>
      <c r="K3" s="6" t="str">
        <f t="shared" si="0"/>
        <v>Normal</v>
      </c>
      <c r="L3" s="6">
        <f t="shared" si="1"/>
        <v>224</v>
      </c>
      <c r="M3" s="6">
        <f t="shared" si="2"/>
        <v>74.666666666666671</v>
      </c>
    </row>
    <row r="4" spans="1:23" ht="21" x14ac:dyDescent="0.5">
      <c r="A4" s="3">
        <v>1003</v>
      </c>
      <c r="B4" s="4" t="s">
        <v>8</v>
      </c>
      <c r="C4" s="4">
        <v>97</v>
      </c>
      <c r="D4" s="4">
        <v>60</v>
      </c>
      <c r="E4" s="4">
        <v>51</v>
      </c>
      <c r="F4" s="5">
        <v>43461</v>
      </c>
      <c r="G4" s="6">
        <f t="shared" si="3"/>
        <v>97</v>
      </c>
      <c r="H4" s="6">
        <f>$C$4</f>
        <v>97</v>
      </c>
      <c r="I4" s="6" t="str">
        <f t="shared" si="4"/>
        <v>D</v>
      </c>
      <c r="J4" s="9">
        <v>37441</v>
      </c>
      <c r="K4" s="6" t="str">
        <f t="shared" si="0"/>
        <v>Normal</v>
      </c>
      <c r="L4" s="6">
        <f t="shared" si="1"/>
        <v>208</v>
      </c>
      <c r="M4" s="6">
        <f t="shared" si="2"/>
        <v>69.333333333333343</v>
      </c>
      <c r="O4" s="21" t="s">
        <v>96</v>
      </c>
      <c r="P4" s="22"/>
      <c r="Q4" s="22"/>
      <c r="R4" s="22"/>
      <c r="S4" s="22"/>
      <c r="T4" s="22"/>
      <c r="U4" s="22"/>
      <c r="V4" s="23"/>
    </row>
    <row r="5" spans="1:23" ht="23" x14ac:dyDescent="0.35">
      <c r="A5" s="3">
        <v>1004</v>
      </c>
      <c r="B5" s="4" t="s">
        <v>9</v>
      </c>
      <c r="C5" s="4">
        <v>74</v>
      </c>
      <c r="D5" s="4">
        <v>55</v>
      </c>
      <c r="E5" s="4">
        <v>46</v>
      </c>
      <c r="F5" s="5">
        <v>43641</v>
      </c>
      <c r="G5" s="6">
        <f t="shared" si="3"/>
        <v>74</v>
      </c>
      <c r="H5" s="6">
        <f>$C$5</f>
        <v>74</v>
      </c>
      <c r="I5" s="6" t="str">
        <f t="shared" si="4"/>
        <v>F</v>
      </c>
      <c r="J5" s="9">
        <v>37213</v>
      </c>
      <c r="K5" s="6" t="str">
        <f t="shared" si="0"/>
        <v>Normal</v>
      </c>
      <c r="L5" s="6">
        <f t="shared" si="1"/>
        <v>175</v>
      </c>
      <c r="M5" s="6">
        <f t="shared" si="2"/>
        <v>58.333333333333336</v>
      </c>
      <c r="O5" s="25">
        <f>COUNTIF(C2:C21,"&gt;50")</f>
        <v>19</v>
      </c>
      <c r="P5" s="25"/>
      <c r="Q5" s="25"/>
      <c r="R5" s="25"/>
      <c r="S5" s="25"/>
      <c r="T5" s="25"/>
      <c r="U5" s="25"/>
      <c r="V5" s="25"/>
    </row>
    <row r="6" spans="1:23" x14ac:dyDescent="0.35">
      <c r="A6" s="3">
        <v>1005</v>
      </c>
      <c r="B6" s="4" t="s">
        <v>10</v>
      </c>
      <c r="C6" s="4">
        <v>68</v>
      </c>
      <c r="D6" s="4">
        <v>74</v>
      </c>
      <c r="E6" s="4">
        <v>84</v>
      </c>
      <c r="F6" s="5">
        <v>43821</v>
      </c>
      <c r="G6" s="6">
        <f t="shared" si="3"/>
        <v>68</v>
      </c>
      <c r="H6" s="6">
        <f>$C$6</f>
        <v>68</v>
      </c>
      <c r="I6" s="6" t="str">
        <f t="shared" si="4"/>
        <v>C</v>
      </c>
      <c r="J6" s="9">
        <v>37296</v>
      </c>
      <c r="K6" s="6" t="str">
        <f t="shared" si="0"/>
        <v>Normal</v>
      </c>
      <c r="L6" s="6">
        <f t="shared" si="1"/>
        <v>226</v>
      </c>
      <c r="M6" s="6">
        <f t="shared" si="2"/>
        <v>75.333333333333329</v>
      </c>
    </row>
    <row r="7" spans="1:23" x14ac:dyDescent="0.35">
      <c r="A7" s="3">
        <v>1006</v>
      </c>
      <c r="B7" s="4" t="s">
        <v>11</v>
      </c>
      <c r="C7" s="4">
        <v>80</v>
      </c>
      <c r="D7" s="4">
        <v>70</v>
      </c>
      <c r="E7" s="4">
        <v>65</v>
      </c>
      <c r="F7" s="5">
        <v>44001</v>
      </c>
      <c r="G7" s="6">
        <f t="shared" si="3"/>
        <v>80</v>
      </c>
      <c r="H7" s="6">
        <f>$C$7</f>
        <v>80</v>
      </c>
      <c r="I7" s="6" t="str">
        <f t="shared" si="4"/>
        <v>C</v>
      </c>
      <c r="J7" s="9">
        <v>37732</v>
      </c>
      <c r="K7" s="6" t="str">
        <f t="shared" si="0"/>
        <v>Normal</v>
      </c>
      <c r="L7" s="6">
        <f t="shared" si="1"/>
        <v>215</v>
      </c>
      <c r="M7" s="6">
        <f t="shared" si="2"/>
        <v>71.666666666666671</v>
      </c>
    </row>
    <row r="8" spans="1:23" x14ac:dyDescent="0.35">
      <c r="A8" s="3">
        <v>1007</v>
      </c>
      <c r="B8" s="4" t="s">
        <v>12</v>
      </c>
      <c r="C8" s="4">
        <v>75</v>
      </c>
      <c r="D8" s="4">
        <v>47</v>
      </c>
      <c r="E8" s="4">
        <v>78</v>
      </c>
      <c r="F8" s="5">
        <v>44181</v>
      </c>
      <c r="G8" s="6">
        <f t="shared" si="3"/>
        <v>75</v>
      </c>
      <c r="H8" s="6">
        <f>$C$8</f>
        <v>75</v>
      </c>
      <c r="I8" s="6" t="str">
        <f t="shared" si="4"/>
        <v>D</v>
      </c>
      <c r="J8" s="9">
        <v>37894</v>
      </c>
      <c r="K8" s="6" t="str">
        <f t="shared" si="0"/>
        <v>Normal</v>
      </c>
      <c r="L8" s="6">
        <f t="shared" si="1"/>
        <v>200</v>
      </c>
      <c r="M8" s="6">
        <f t="shared" si="2"/>
        <v>66.666666666666657</v>
      </c>
    </row>
    <row r="9" spans="1:23" ht="21" x14ac:dyDescent="0.5">
      <c r="A9" s="3">
        <v>1008</v>
      </c>
      <c r="B9" s="4" t="s">
        <v>13</v>
      </c>
      <c r="C9" s="4">
        <v>94</v>
      </c>
      <c r="D9" s="4">
        <v>67</v>
      </c>
      <c r="E9" s="4">
        <v>64</v>
      </c>
      <c r="F9" s="5">
        <v>44361</v>
      </c>
      <c r="G9" s="6">
        <f t="shared" si="3"/>
        <v>94</v>
      </c>
      <c r="H9" s="6">
        <f>$C$9</f>
        <v>94</v>
      </c>
      <c r="I9" s="6" t="str">
        <f t="shared" si="4"/>
        <v>C</v>
      </c>
      <c r="J9" s="9">
        <v>37991</v>
      </c>
      <c r="K9" s="6" t="str">
        <f t="shared" si="0"/>
        <v>Normal</v>
      </c>
      <c r="L9" s="6">
        <f t="shared" si="1"/>
        <v>225</v>
      </c>
      <c r="M9" s="6">
        <f t="shared" si="2"/>
        <v>75</v>
      </c>
      <c r="O9" s="21" t="s">
        <v>97</v>
      </c>
      <c r="P9" s="22"/>
      <c r="Q9" s="22"/>
      <c r="R9" s="22"/>
      <c r="S9" s="22"/>
      <c r="T9" s="22"/>
      <c r="U9" s="23"/>
      <c r="V9" s="23"/>
      <c r="W9" s="23"/>
    </row>
    <row r="10" spans="1:23" ht="23.5" customHeight="1" x14ac:dyDescent="0.5">
      <c r="A10" s="3">
        <v>1009</v>
      </c>
      <c r="B10" s="4" t="s">
        <v>14</v>
      </c>
      <c r="C10" s="4">
        <v>41</v>
      </c>
      <c r="D10" s="4">
        <v>75</v>
      </c>
      <c r="E10" s="4">
        <v>56</v>
      </c>
      <c r="F10" s="5">
        <v>44541</v>
      </c>
      <c r="G10" s="6">
        <f t="shared" si="3"/>
        <v>41</v>
      </c>
      <c r="H10" s="6">
        <f>$C$10</f>
        <v>41</v>
      </c>
      <c r="I10" s="6" t="str">
        <f t="shared" si="4"/>
        <v>F</v>
      </c>
      <c r="J10" s="9">
        <v>38489</v>
      </c>
      <c r="K10" s="6" t="str">
        <f t="shared" si="0"/>
        <v>Normal</v>
      </c>
      <c r="L10" s="6">
        <f t="shared" si="1"/>
        <v>172</v>
      </c>
      <c r="M10" s="6">
        <f t="shared" si="2"/>
        <v>57.333333333333336</v>
      </c>
      <c r="O10" s="24">
        <f>AVERAGEIFS(C2:C21,C2:C21,"&gt;60")</f>
        <v>82.263157894736835</v>
      </c>
      <c r="P10" s="24"/>
      <c r="Q10" s="24"/>
      <c r="R10" s="24"/>
      <c r="S10" s="24"/>
      <c r="T10" s="24"/>
      <c r="U10" s="24"/>
      <c r="V10" s="24"/>
      <c r="W10" s="24"/>
    </row>
    <row r="11" spans="1:23" ht="17.5" customHeight="1" x14ac:dyDescent="0.35">
      <c r="A11" s="3">
        <v>1010</v>
      </c>
      <c r="B11" s="4" t="s">
        <v>15</v>
      </c>
      <c r="C11" s="4">
        <v>98</v>
      </c>
      <c r="D11" s="4">
        <v>54</v>
      </c>
      <c r="E11" s="4">
        <v>58</v>
      </c>
      <c r="F11" s="5">
        <v>44721</v>
      </c>
      <c r="G11" s="6">
        <f t="shared" si="3"/>
        <v>98</v>
      </c>
      <c r="H11" s="6">
        <f>$C$11</f>
        <v>98</v>
      </c>
      <c r="I11" s="6" t="str">
        <f t="shared" si="4"/>
        <v>C</v>
      </c>
      <c r="J11" s="9">
        <v>38411</v>
      </c>
      <c r="K11" s="6" t="str">
        <f t="shared" si="0"/>
        <v>Normal</v>
      </c>
      <c r="L11" s="6">
        <f t="shared" si="1"/>
        <v>210</v>
      </c>
      <c r="M11" s="6">
        <f t="shared" si="2"/>
        <v>70</v>
      </c>
    </row>
    <row r="12" spans="1:23" ht="18.5" customHeight="1" x14ac:dyDescent="0.35">
      <c r="A12" s="3">
        <v>1011</v>
      </c>
      <c r="B12" s="4" t="s">
        <v>16</v>
      </c>
      <c r="C12" s="4">
        <v>73</v>
      </c>
      <c r="D12" s="4">
        <v>79</v>
      </c>
      <c r="E12" s="4">
        <v>53</v>
      </c>
      <c r="F12" s="5">
        <v>44901</v>
      </c>
      <c r="G12" s="6">
        <f t="shared" si="3"/>
        <v>73</v>
      </c>
      <c r="H12" s="6">
        <f>$C$12</f>
        <v>73</v>
      </c>
      <c r="I12" s="6" t="str">
        <f t="shared" si="4"/>
        <v>D</v>
      </c>
      <c r="J12" s="9">
        <v>38636</v>
      </c>
      <c r="K12" s="6" t="str">
        <f t="shared" si="0"/>
        <v>Normal</v>
      </c>
      <c r="L12" s="6">
        <f t="shared" si="1"/>
        <v>205</v>
      </c>
      <c r="M12" s="6">
        <f t="shared" si="2"/>
        <v>68.333333333333329</v>
      </c>
    </row>
    <row r="13" spans="1:23" ht="19" customHeight="1" x14ac:dyDescent="0.5">
      <c r="A13" s="3">
        <v>1012</v>
      </c>
      <c r="B13" s="4" t="s">
        <v>17</v>
      </c>
      <c r="C13" s="4">
        <v>85</v>
      </c>
      <c r="D13" s="4">
        <v>89</v>
      </c>
      <c r="E13" s="4">
        <v>79</v>
      </c>
      <c r="F13" s="5">
        <v>45081</v>
      </c>
      <c r="G13" s="6">
        <f t="shared" si="3"/>
        <v>85</v>
      </c>
      <c r="H13" s="6">
        <f>$C$13</f>
        <v>85</v>
      </c>
      <c r="I13" s="6" t="str">
        <f t="shared" si="4"/>
        <v>B</v>
      </c>
      <c r="J13" s="9">
        <v>38739</v>
      </c>
      <c r="K13" s="6" t="str">
        <f t="shared" si="0"/>
        <v>Top Student</v>
      </c>
      <c r="L13" s="6">
        <f t="shared" si="1"/>
        <v>253</v>
      </c>
      <c r="M13" s="6">
        <f t="shared" si="2"/>
        <v>84.333333333333343</v>
      </c>
      <c r="O13" s="21" t="s">
        <v>98</v>
      </c>
      <c r="P13" s="22"/>
      <c r="Q13" s="22"/>
      <c r="R13" s="22"/>
      <c r="S13" s="22"/>
      <c r="T13" s="22"/>
      <c r="U13" s="23"/>
      <c r="V13" s="23"/>
    </row>
    <row r="14" spans="1:23" ht="17.5" customHeight="1" x14ac:dyDescent="0.45">
      <c r="A14" s="3">
        <v>1013</v>
      </c>
      <c r="B14" s="4" t="s">
        <v>18</v>
      </c>
      <c r="C14" s="4">
        <v>98</v>
      </c>
      <c r="D14" s="4">
        <v>90</v>
      </c>
      <c r="E14" s="4">
        <v>97</v>
      </c>
      <c r="F14" s="5">
        <v>45261</v>
      </c>
      <c r="G14" s="6">
        <f t="shared" si="3"/>
        <v>98</v>
      </c>
      <c r="H14" s="6">
        <f>$C$14</f>
        <v>98</v>
      </c>
      <c r="I14" s="6" t="str">
        <f t="shared" si="4"/>
        <v>A</v>
      </c>
      <c r="J14" s="9">
        <v>38912</v>
      </c>
      <c r="K14" s="6" t="str">
        <f t="shared" si="0"/>
        <v>Top Student</v>
      </c>
      <c r="L14" s="6">
        <f t="shared" si="1"/>
        <v>285</v>
      </c>
      <c r="M14" s="6">
        <f t="shared" si="2"/>
        <v>95</v>
      </c>
      <c r="O14" s="28" t="str">
        <f>VLOOKUP(1006,Table1[],2)</f>
        <v>Student 6</v>
      </c>
      <c r="P14" s="28"/>
      <c r="Q14" s="28"/>
      <c r="R14" s="28"/>
      <c r="S14" s="28"/>
      <c r="T14" s="28"/>
      <c r="U14" s="28"/>
      <c r="V14" s="28"/>
    </row>
    <row r="15" spans="1:23" ht="18.5" customHeight="1" x14ac:dyDescent="0.35">
      <c r="A15" s="3">
        <v>1014</v>
      </c>
      <c r="B15" s="4" t="s">
        <v>19</v>
      </c>
      <c r="C15" s="4">
        <v>93</v>
      </c>
      <c r="D15" s="4">
        <v>40</v>
      </c>
      <c r="E15" s="4">
        <v>44</v>
      </c>
      <c r="F15" s="5">
        <v>45441</v>
      </c>
      <c r="G15" s="6">
        <f t="shared" si="3"/>
        <v>93</v>
      </c>
      <c r="H15" s="6">
        <f>$C$15</f>
        <v>93</v>
      </c>
      <c r="I15" s="6" t="str">
        <f t="shared" si="4"/>
        <v>F</v>
      </c>
      <c r="J15" s="9">
        <v>39054</v>
      </c>
      <c r="K15" s="6" t="str">
        <f t="shared" si="0"/>
        <v>Normal</v>
      </c>
      <c r="L15" s="6">
        <f t="shared" si="1"/>
        <v>177</v>
      </c>
      <c r="M15" s="6">
        <f t="shared" si="2"/>
        <v>59</v>
      </c>
    </row>
    <row r="16" spans="1:23" ht="15.5" customHeight="1" x14ac:dyDescent="0.35">
      <c r="A16" s="3">
        <v>1015</v>
      </c>
      <c r="B16" s="4" t="s">
        <v>20</v>
      </c>
      <c r="C16" s="4">
        <v>70</v>
      </c>
      <c r="D16" s="4">
        <v>51</v>
      </c>
      <c r="E16" s="4">
        <v>75</v>
      </c>
      <c r="F16" s="5">
        <v>45621</v>
      </c>
      <c r="G16" s="6">
        <f t="shared" si="3"/>
        <v>70</v>
      </c>
      <c r="H16" s="6">
        <f>$C$16</f>
        <v>70</v>
      </c>
      <c r="I16" s="6" t="str">
        <f t="shared" si="4"/>
        <v>D</v>
      </c>
      <c r="J16" s="9">
        <v>39191</v>
      </c>
      <c r="K16" s="6" t="str">
        <f t="shared" si="0"/>
        <v>Normal</v>
      </c>
      <c r="L16" s="6">
        <f t="shared" si="1"/>
        <v>196</v>
      </c>
      <c r="M16" s="6">
        <f t="shared" si="2"/>
        <v>65.333333333333329</v>
      </c>
    </row>
    <row r="17" spans="1:22" ht="15" customHeight="1" x14ac:dyDescent="0.5">
      <c r="A17" s="3">
        <v>1016</v>
      </c>
      <c r="B17" s="4" t="s">
        <v>21</v>
      </c>
      <c r="C17" s="4">
        <v>98</v>
      </c>
      <c r="D17" s="4">
        <v>77</v>
      </c>
      <c r="E17" s="4">
        <v>60</v>
      </c>
      <c r="F17" s="5">
        <v>45801</v>
      </c>
      <c r="G17" s="6">
        <f t="shared" si="3"/>
        <v>98</v>
      </c>
      <c r="H17" s="6">
        <f>$C$17</f>
        <v>98</v>
      </c>
      <c r="I17" s="6" t="str">
        <f t="shared" si="4"/>
        <v>C</v>
      </c>
      <c r="J17" s="9">
        <v>39333</v>
      </c>
      <c r="K17" s="6" t="str">
        <f t="shared" si="0"/>
        <v>Normal</v>
      </c>
      <c r="L17" s="6">
        <f t="shared" si="1"/>
        <v>235</v>
      </c>
      <c r="M17" s="6">
        <f t="shared" si="2"/>
        <v>78.333333333333329</v>
      </c>
      <c r="O17" s="21" t="s">
        <v>99</v>
      </c>
      <c r="P17" s="22"/>
      <c r="Q17" s="22"/>
      <c r="R17" s="22"/>
      <c r="S17" s="22"/>
      <c r="T17" s="22"/>
      <c r="U17" s="23"/>
      <c r="V17" s="23"/>
    </row>
    <row r="18" spans="1:22" ht="20.5" customHeight="1" x14ac:dyDescent="0.35">
      <c r="A18" s="3">
        <v>1017</v>
      </c>
      <c r="B18" s="4" t="s">
        <v>22</v>
      </c>
      <c r="C18" s="4">
        <v>66</v>
      </c>
      <c r="D18" s="4">
        <v>59</v>
      </c>
      <c r="E18" s="4">
        <v>40</v>
      </c>
      <c r="F18" s="5">
        <v>45981</v>
      </c>
      <c r="G18" s="6">
        <f t="shared" si="3"/>
        <v>66</v>
      </c>
      <c r="H18" s="6">
        <f>$C$18</f>
        <v>66</v>
      </c>
      <c r="I18" s="6" t="str">
        <f t="shared" si="4"/>
        <v>F</v>
      </c>
      <c r="J18" s="9">
        <v>39504</v>
      </c>
      <c r="K18" s="6" t="str">
        <f t="shared" si="0"/>
        <v>Normal</v>
      </c>
      <c r="L18" s="6">
        <f t="shared" si="1"/>
        <v>165</v>
      </c>
      <c r="M18" s="6">
        <f t="shared" si="2"/>
        <v>55.000000000000007</v>
      </c>
      <c r="O18" s="17"/>
      <c r="P18" s="26">
        <v>1003</v>
      </c>
      <c r="Q18" s="26" t="s">
        <v>8</v>
      </c>
      <c r="R18" s="26">
        <v>97</v>
      </c>
      <c r="S18" s="26">
        <v>60</v>
      </c>
      <c r="T18" s="26">
        <v>51</v>
      </c>
      <c r="U18" s="26">
        <v>43461</v>
      </c>
    </row>
    <row r="19" spans="1:22" ht="20.5" customHeight="1" x14ac:dyDescent="0.35">
      <c r="A19" s="3">
        <v>1018</v>
      </c>
      <c r="B19" s="4" t="s">
        <v>23</v>
      </c>
      <c r="C19" s="4">
        <v>82</v>
      </c>
      <c r="D19" s="4">
        <v>48</v>
      </c>
      <c r="E19" s="4">
        <v>79</v>
      </c>
      <c r="F19" s="5">
        <v>46161</v>
      </c>
      <c r="G19" s="6">
        <f t="shared" si="3"/>
        <v>82</v>
      </c>
      <c r="H19" s="6">
        <f>$C$19</f>
        <v>82</v>
      </c>
      <c r="I19" s="6" t="str">
        <f t="shared" si="4"/>
        <v>D</v>
      </c>
      <c r="J19" s="9">
        <v>39606</v>
      </c>
      <c r="K19" s="6" t="str">
        <f t="shared" si="0"/>
        <v>Normal</v>
      </c>
      <c r="L19" s="6">
        <f t="shared" si="1"/>
        <v>209</v>
      </c>
      <c r="M19" s="6">
        <f t="shared" si="2"/>
        <v>69.666666666666671</v>
      </c>
      <c r="P19" s="26">
        <v>1008</v>
      </c>
      <c r="Q19" s="26" t="s">
        <v>13</v>
      </c>
      <c r="R19" s="26">
        <v>94</v>
      </c>
      <c r="S19" s="26">
        <v>67</v>
      </c>
      <c r="T19" s="26">
        <v>64</v>
      </c>
      <c r="U19" s="26">
        <v>44361</v>
      </c>
    </row>
    <row r="20" spans="1:22" ht="18" customHeight="1" x14ac:dyDescent="0.35">
      <c r="A20" s="3">
        <v>1019</v>
      </c>
      <c r="B20" s="4" t="s">
        <v>24</v>
      </c>
      <c r="C20" s="4">
        <v>90</v>
      </c>
      <c r="D20" s="4">
        <v>78</v>
      </c>
      <c r="E20" s="4">
        <v>60</v>
      </c>
      <c r="F20" s="5">
        <v>46341</v>
      </c>
      <c r="G20" s="6">
        <f t="shared" si="3"/>
        <v>90</v>
      </c>
      <c r="H20" s="6">
        <f>$C$20</f>
        <v>90</v>
      </c>
      <c r="I20" s="6" t="str">
        <f t="shared" si="4"/>
        <v>C</v>
      </c>
      <c r="J20" s="9">
        <v>39885</v>
      </c>
      <c r="K20" s="6" t="str">
        <f t="shared" si="0"/>
        <v>Normal</v>
      </c>
      <c r="L20" s="6">
        <f t="shared" si="1"/>
        <v>228</v>
      </c>
      <c r="M20" s="6">
        <f t="shared" si="2"/>
        <v>76</v>
      </c>
      <c r="P20" s="26">
        <v>1010</v>
      </c>
      <c r="Q20" s="26" t="s">
        <v>15</v>
      </c>
      <c r="R20" s="26">
        <v>98</v>
      </c>
      <c r="S20" s="26">
        <v>54</v>
      </c>
      <c r="T20" s="26">
        <v>58</v>
      </c>
      <c r="U20" s="26">
        <v>44721</v>
      </c>
    </row>
    <row r="21" spans="1:22" ht="17" customHeight="1" x14ac:dyDescent="0.35">
      <c r="A21" s="3">
        <v>1020</v>
      </c>
      <c r="B21" s="4" t="s">
        <v>25</v>
      </c>
      <c r="C21" s="4">
        <v>83</v>
      </c>
      <c r="D21" s="4">
        <v>92</v>
      </c>
      <c r="E21" s="4">
        <v>55</v>
      </c>
      <c r="F21" s="5">
        <v>46521</v>
      </c>
      <c r="G21" s="6">
        <f t="shared" si="3"/>
        <v>83</v>
      </c>
      <c r="H21" s="6">
        <f>$C$21</f>
        <v>83</v>
      </c>
      <c r="I21" s="6" t="str">
        <f t="shared" si="4"/>
        <v>C</v>
      </c>
      <c r="J21" s="10">
        <v>40055</v>
      </c>
      <c r="K21" s="7" t="str">
        <f t="shared" si="0"/>
        <v>Top Student</v>
      </c>
      <c r="L21" s="7">
        <f t="shared" si="1"/>
        <v>230</v>
      </c>
      <c r="M21" s="7">
        <f t="shared" si="2"/>
        <v>76.666666666666671</v>
      </c>
      <c r="P21" s="26">
        <v>1012</v>
      </c>
      <c r="Q21" s="26" t="s">
        <v>17</v>
      </c>
      <c r="R21" s="26">
        <v>85</v>
      </c>
      <c r="S21" s="26">
        <v>89</v>
      </c>
      <c r="T21" s="26">
        <v>79</v>
      </c>
      <c r="U21" s="26">
        <v>45081</v>
      </c>
    </row>
    <row r="22" spans="1:22" x14ac:dyDescent="0.35">
      <c r="P22" s="26">
        <v>1013</v>
      </c>
      <c r="Q22" s="26" t="s">
        <v>18</v>
      </c>
      <c r="R22" s="26">
        <v>98</v>
      </c>
      <c r="S22" s="26">
        <v>90</v>
      </c>
      <c r="T22" s="26">
        <v>97</v>
      </c>
      <c r="U22" s="26">
        <v>45261</v>
      </c>
    </row>
    <row r="23" spans="1:22" x14ac:dyDescent="0.35">
      <c r="P23" s="26">
        <v>1014</v>
      </c>
      <c r="Q23" s="26" t="s">
        <v>19</v>
      </c>
      <c r="R23" s="26">
        <v>93</v>
      </c>
      <c r="S23" s="26">
        <v>40</v>
      </c>
      <c r="T23" s="26">
        <v>44</v>
      </c>
      <c r="U23" s="26">
        <v>45441</v>
      </c>
    </row>
    <row r="24" spans="1:22" x14ac:dyDescent="0.35">
      <c r="P24" s="26">
        <v>1016</v>
      </c>
      <c r="Q24" s="26" t="s">
        <v>21</v>
      </c>
      <c r="R24" s="26">
        <v>98</v>
      </c>
      <c r="S24" s="26">
        <v>77</v>
      </c>
      <c r="T24" s="26">
        <v>60</v>
      </c>
      <c r="U24" s="26">
        <v>45801</v>
      </c>
    </row>
    <row r="25" spans="1:22" x14ac:dyDescent="0.35">
      <c r="P25" s="26">
        <v>1018</v>
      </c>
      <c r="Q25" s="26" t="s">
        <v>23</v>
      </c>
      <c r="R25" s="26">
        <v>82</v>
      </c>
      <c r="S25" s="26">
        <v>48</v>
      </c>
      <c r="T25" s="26">
        <v>79</v>
      </c>
      <c r="U25" s="26">
        <v>46161</v>
      </c>
    </row>
    <row r="26" spans="1:22" x14ac:dyDescent="0.35">
      <c r="P26" s="26">
        <v>1019</v>
      </c>
      <c r="Q26" s="26" t="s">
        <v>24</v>
      </c>
      <c r="R26" s="26">
        <v>90</v>
      </c>
      <c r="S26" s="26">
        <v>78</v>
      </c>
      <c r="T26" s="26">
        <v>60</v>
      </c>
      <c r="U26" s="26">
        <v>46341</v>
      </c>
    </row>
    <row r="27" spans="1:22" x14ac:dyDescent="0.35">
      <c r="P27" s="26">
        <v>1020</v>
      </c>
      <c r="Q27" s="26" t="s">
        <v>25</v>
      </c>
      <c r="R27" s="26">
        <v>83</v>
      </c>
      <c r="S27" s="26">
        <v>92</v>
      </c>
      <c r="T27" s="26">
        <v>55</v>
      </c>
      <c r="U27" s="26">
        <v>46521</v>
      </c>
    </row>
  </sheetData>
  <mergeCells count="3">
    <mergeCell ref="O5:V5"/>
    <mergeCell ref="O10:W10"/>
    <mergeCell ref="O14:V1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FE8B-8F3F-48FA-BF84-0E0DFB6B7183}">
  <dimension ref="A1:V21"/>
  <sheetViews>
    <sheetView workbookViewId="0"/>
  </sheetViews>
  <sheetFormatPr defaultRowHeight="14.5" x14ac:dyDescent="0.35"/>
  <cols>
    <col min="1" max="1" width="9.7265625" customWidth="1"/>
    <col min="2" max="2" width="14.453125" customWidth="1"/>
    <col min="3" max="3" width="9.81640625" customWidth="1"/>
    <col min="4" max="4" width="9" customWidth="1"/>
    <col min="5" max="5" width="13.26953125" customWidth="1"/>
    <col min="6" max="6" width="10.26953125" bestFit="1" customWidth="1"/>
    <col min="7" max="7" width="15.1796875" bestFit="1" customWidth="1"/>
    <col min="8" max="8" width="14.90625" customWidth="1"/>
    <col min="9" max="9" width="15" customWidth="1"/>
    <col min="10" max="10" width="8.90625" customWidth="1"/>
    <col min="15" max="15" width="10.26953125" bestFit="1" customWidth="1"/>
    <col min="16" max="16" width="12.26953125" bestFit="1" customWidth="1"/>
  </cols>
  <sheetData>
    <row r="1" spans="1:22" ht="29.5" thickBot="1" x14ac:dyDescent="0.4">
      <c r="A1" s="33" t="s">
        <v>26</v>
      </c>
      <c r="B1" s="33" t="s">
        <v>102</v>
      </c>
      <c r="C1" s="34" t="s">
        <v>27</v>
      </c>
      <c r="D1" s="34" t="s">
        <v>28</v>
      </c>
      <c r="E1" s="34" t="s">
        <v>29</v>
      </c>
      <c r="F1" s="35" t="s">
        <v>30</v>
      </c>
      <c r="G1" s="36" t="s">
        <v>31</v>
      </c>
      <c r="H1" s="27" t="s">
        <v>100</v>
      </c>
      <c r="I1" s="27" t="s">
        <v>123</v>
      </c>
      <c r="J1" s="27" t="s">
        <v>124</v>
      </c>
    </row>
    <row r="2" spans="1:22" ht="15" thickBot="1" x14ac:dyDescent="0.4">
      <c r="A2" s="30">
        <v>2001</v>
      </c>
      <c r="B2" s="1" t="s">
        <v>103</v>
      </c>
      <c r="C2" s="1" t="s">
        <v>32</v>
      </c>
      <c r="D2" s="1" t="s">
        <v>33</v>
      </c>
      <c r="E2" s="1" t="s">
        <v>34</v>
      </c>
      <c r="F2" s="2">
        <v>7048</v>
      </c>
      <c r="G2" s="31">
        <v>44927</v>
      </c>
      <c r="H2" s="32" t="str">
        <f>IF(F2&gt;=40000,"20%",IF(F2&gt;=20000,"10%",IF(F2&gt;=10000,"5%","No Discount")))</f>
        <v>No Discount</v>
      </c>
      <c r="I2" s="32" t="str">
        <f>IF(OR(F2&gt;7500,F2=7500),"Eligible","Not Eligible")</f>
        <v>Not Eligible</v>
      </c>
      <c r="J2" s="32" t="str">
        <f>TEXT(F2,"mmm")</f>
        <v>Apr</v>
      </c>
    </row>
    <row r="3" spans="1:22" ht="21.5" thickBot="1" x14ac:dyDescent="0.55000000000000004">
      <c r="A3" s="30">
        <v>2002</v>
      </c>
      <c r="B3" s="1" t="s">
        <v>104</v>
      </c>
      <c r="C3" s="1" t="s">
        <v>35</v>
      </c>
      <c r="D3" s="1" t="s">
        <v>36</v>
      </c>
      <c r="E3" s="1" t="s">
        <v>37</v>
      </c>
      <c r="F3" s="2">
        <v>17428</v>
      </c>
      <c r="G3" s="31">
        <v>44942</v>
      </c>
      <c r="H3" s="32" t="str">
        <f t="shared" ref="H3:H21" si="0">IF(F3&gt;=40000,"20%",IF(F3&gt;=20000,"10%",IF(F3&gt;=10000,"5%","No Discount")))</f>
        <v>5%</v>
      </c>
      <c r="I3" s="32" t="str">
        <f t="shared" ref="I3:I21" si="1">IF(OR(F3&gt;7500,F3=7500),"Eligible","Not Eligible")</f>
        <v>Eligible</v>
      </c>
      <c r="J3" s="32" t="str">
        <f t="shared" ref="J3:J21" si="2">TEXT(F3,"mmm")</f>
        <v>Sep</v>
      </c>
      <c r="M3" s="21" t="s">
        <v>101</v>
      </c>
      <c r="N3" s="22"/>
      <c r="O3" s="22"/>
      <c r="P3" s="22"/>
      <c r="Q3" s="22"/>
      <c r="R3" s="23"/>
      <c r="S3" s="23"/>
    </row>
    <row r="4" spans="1:22" ht="24" customHeight="1" thickBot="1" x14ac:dyDescent="0.55000000000000004">
      <c r="A4" s="30">
        <v>2003</v>
      </c>
      <c r="B4" s="1" t="s">
        <v>105</v>
      </c>
      <c r="C4" s="1" t="s">
        <v>38</v>
      </c>
      <c r="D4" s="1" t="s">
        <v>33</v>
      </c>
      <c r="E4" s="1" t="s">
        <v>39</v>
      </c>
      <c r="F4" s="2">
        <v>23672</v>
      </c>
      <c r="G4" s="31">
        <v>44957</v>
      </c>
      <c r="H4" s="32" t="str">
        <f t="shared" si="0"/>
        <v>10%</v>
      </c>
      <c r="I4" s="32" t="str">
        <f t="shared" si="1"/>
        <v>Eligible</v>
      </c>
      <c r="J4" s="32" t="str">
        <f t="shared" si="2"/>
        <v>Oct</v>
      </c>
      <c r="M4" s="38">
        <f>SUMIFS(F2:F21,C2:C21,"Mouse",D2:D21,"East")</f>
        <v>37335</v>
      </c>
      <c r="N4" s="38"/>
      <c r="O4" s="38"/>
      <c r="P4" s="38"/>
      <c r="Q4" s="38"/>
      <c r="R4" s="38"/>
      <c r="S4" s="38"/>
    </row>
    <row r="5" spans="1:22" ht="15" thickBot="1" x14ac:dyDescent="0.4">
      <c r="A5" s="30">
        <v>2004</v>
      </c>
      <c r="B5" s="1" t="s">
        <v>106</v>
      </c>
      <c r="C5" s="1" t="s">
        <v>35</v>
      </c>
      <c r="D5" s="1" t="s">
        <v>40</v>
      </c>
      <c r="E5" s="1" t="s">
        <v>41</v>
      </c>
      <c r="F5" s="2">
        <v>5264</v>
      </c>
      <c r="G5" s="31">
        <v>44972</v>
      </c>
      <c r="H5" s="32" t="str">
        <f t="shared" si="0"/>
        <v>No Discount</v>
      </c>
      <c r="I5" s="32" t="str">
        <f t="shared" si="1"/>
        <v>Not Eligible</v>
      </c>
      <c r="J5" s="32" t="str">
        <f t="shared" si="2"/>
        <v>May</v>
      </c>
    </row>
    <row r="6" spans="1:22" ht="15" thickBot="1" x14ac:dyDescent="0.4">
      <c r="A6" s="30">
        <v>2005</v>
      </c>
      <c r="B6" s="1" t="s">
        <v>107</v>
      </c>
      <c r="C6" s="1" t="s">
        <v>32</v>
      </c>
      <c r="D6" s="1" t="s">
        <v>42</v>
      </c>
      <c r="E6" s="1" t="s">
        <v>43</v>
      </c>
      <c r="F6" s="2">
        <v>43388</v>
      </c>
      <c r="G6" s="31">
        <v>44987</v>
      </c>
      <c r="H6" s="32" t="str">
        <f t="shared" si="0"/>
        <v>20%</v>
      </c>
      <c r="I6" s="32" t="str">
        <f t="shared" si="1"/>
        <v>Eligible</v>
      </c>
      <c r="J6" s="32" t="str">
        <f t="shared" si="2"/>
        <v>Oct</v>
      </c>
    </row>
    <row r="7" spans="1:22" ht="21.5" thickBot="1" x14ac:dyDescent="0.55000000000000004">
      <c r="A7" s="30">
        <v>2006</v>
      </c>
      <c r="B7" s="1" t="s">
        <v>108</v>
      </c>
      <c r="C7" s="1" t="s">
        <v>38</v>
      </c>
      <c r="D7" s="1" t="s">
        <v>42</v>
      </c>
      <c r="E7" s="1" t="s">
        <v>44</v>
      </c>
      <c r="F7" s="2">
        <v>19757</v>
      </c>
      <c r="G7" s="31">
        <v>45002</v>
      </c>
      <c r="H7" s="32" t="str">
        <f t="shared" si="0"/>
        <v>5%</v>
      </c>
      <c r="I7" s="32" t="str">
        <f t="shared" si="1"/>
        <v>Eligible</v>
      </c>
      <c r="J7" s="32" t="str">
        <f t="shared" si="2"/>
        <v>Feb</v>
      </c>
      <c r="M7" s="21" t="s">
        <v>125</v>
      </c>
      <c r="N7" s="22"/>
      <c r="O7" s="22"/>
      <c r="P7" s="22"/>
      <c r="Q7" s="23"/>
      <c r="R7" s="23"/>
      <c r="S7" s="23"/>
    </row>
    <row r="8" spans="1:22" ht="24" customHeight="1" thickBot="1" x14ac:dyDescent="0.55000000000000004">
      <c r="A8" s="30">
        <v>2007</v>
      </c>
      <c r="B8" s="1" t="s">
        <v>109</v>
      </c>
      <c r="C8" s="1" t="s">
        <v>38</v>
      </c>
      <c r="D8" s="1" t="s">
        <v>40</v>
      </c>
      <c r="E8" s="1" t="s">
        <v>45</v>
      </c>
      <c r="F8" s="2">
        <v>32058</v>
      </c>
      <c r="G8" s="31">
        <v>45017</v>
      </c>
      <c r="H8" s="32" t="str">
        <f t="shared" si="0"/>
        <v>10%</v>
      </c>
      <c r="I8" s="32" t="str">
        <f t="shared" si="1"/>
        <v>Eligible</v>
      </c>
      <c r="J8" s="32" t="str">
        <f t="shared" si="2"/>
        <v>Oct</v>
      </c>
      <c r="M8" s="38">
        <f>VLOOKUP("PC110",B2:F21,5,FALSE)</f>
        <v>35185</v>
      </c>
      <c r="N8" s="38"/>
      <c r="O8" s="38"/>
      <c r="P8" s="38"/>
      <c r="Q8" s="38"/>
      <c r="R8" s="38"/>
      <c r="S8" s="38"/>
    </row>
    <row r="9" spans="1:22" ht="15" thickBot="1" x14ac:dyDescent="0.4">
      <c r="A9" s="30">
        <v>2008</v>
      </c>
      <c r="B9" s="1" t="s">
        <v>110</v>
      </c>
      <c r="C9" s="1" t="s">
        <v>32</v>
      </c>
      <c r="D9" s="1" t="s">
        <v>40</v>
      </c>
      <c r="E9" s="1" t="s">
        <v>46</v>
      </c>
      <c r="F9" s="2">
        <v>46429</v>
      </c>
      <c r="G9" s="31">
        <v>45032</v>
      </c>
      <c r="H9" s="32" t="str">
        <f t="shared" si="0"/>
        <v>20%</v>
      </c>
      <c r="I9" s="32" t="str">
        <f t="shared" si="1"/>
        <v>Eligible</v>
      </c>
      <c r="J9" s="32" t="str">
        <f t="shared" si="2"/>
        <v>Feb</v>
      </c>
    </row>
    <row r="10" spans="1:22" ht="15" thickBot="1" x14ac:dyDescent="0.4">
      <c r="A10" s="30">
        <v>2009</v>
      </c>
      <c r="B10" s="1" t="s">
        <v>111</v>
      </c>
      <c r="C10" s="1" t="s">
        <v>35</v>
      </c>
      <c r="D10" s="1" t="s">
        <v>40</v>
      </c>
      <c r="E10" s="1" t="s">
        <v>47</v>
      </c>
      <c r="F10" s="2">
        <v>19746</v>
      </c>
      <c r="G10" s="31">
        <v>45047</v>
      </c>
      <c r="H10" s="32" t="str">
        <f t="shared" si="0"/>
        <v>5%</v>
      </c>
      <c r="I10" s="32" t="str">
        <f t="shared" si="1"/>
        <v>Eligible</v>
      </c>
      <c r="J10" s="32" t="str">
        <f t="shared" si="2"/>
        <v>Jan</v>
      </c>
    </row>
    <row r="11" spans="1:22" ht="17" customHeight="1" thickBot="1" x14ac:dyDescent="0.55000000000000004">
      <c r="A11" s="30">
        <v>2010</v>
      </c>
      <c r="B11" s="1" t="s">
        <v>112</v>
      </c>
      <c r="C11" s="1" t="s">
        <v>32</v>
      </c>
      <c r="D11" s="1" t="s">
        <v>33</v>
      </c>
      <c r="E11" s="1" t="s">
        <v>48</v>
      </c>
      <c r="F11" s="2">
        <v>35185</v>
      </c>
      <c r="G11" s="31">
        <v>45062</v>
      </c>
      <c r="H11" s="32" t="str">
        <f t="shared" si="0"/>
        <v>10%</v>
      </c>
      <c r="I11" s="32" t="str">
        <f t="shared" si="1"/>
        <v>Eligible</v>
      </c>
      <c r="J11" s="32" t="str">
        <f t="shared" si="2"/>
        <v>Apr</v>
      </c>
      <c r="M11" s="21" t="s">
        <v>126</v>
      </c>
      <c r="N11" s="22"/>
      <c r="O11" s="22"/>
      <c r="P11" s="22"/>
      <c r="Q11" s="22"/>
      <c r="R11" s="23"/>
      <c r="S11" s="23"/>
      <c r="T11" s="23"/>
      <c r="U11" s="37"/>
    </row>
    <row r="12" spans="1:22" ht="18" customHeight="1" thickBot="1" x14ac:dyDescent="0.6">
      <c r="A12" s="30">
        <v>2011</v>
      </c>
      <c r="B12" s="1" t="s">
        <v>113</v>
      </c>
      <c r="C12" s="1" t="s">
        <v>32</v>
      </c>
      <c r="D12" s="1" t="s">
        <v>40</v>
      </c>
      <c r="E12" s="1" t="s">
        <v>49</v>
      </c>
      <c r="F12" s="2">
        <v>33920</v>
      </c>
      <c r="G12" s="31">
        <v>45077</v>
      </c>
      <c r="H12" s="32" t="str">
        <f t="shared" si="0"/>
        <v>10%</v>
      </c>
      <c r="I12" s="32" t="str">
        <f t="shared" si="1"/>
        <v>Eligible</v>
      </c>
      <c r="J12" s="32" t="str">
        <f t="shared" si="2"/>
        <v>Nov</v>
      </c>
      <c r="M12" s="39" cm="1">
        <f t="array" ref="M12">INDEX(F2:F21, MATCH(1, (E2:E21="Person 4") * (MONTH(G2:G21)=2), 0))</f>
        <v>5264</v>
      </c>
      <c r="N12" s="39"/>
      <c r="O12" s="39"/>
      <c r="P12" s="39"/>
      <c r="Q12" s="39"/>
      <c r="R12" s="39"/>
      <c r="S12" s="39"/>
      <c r="T12" s="39"/>
      <c r="U12" s="39"/>
    </row>
    <row r="13" spans="1:22" ht="17.5" customHeight="1" thickBot="1" x14ac:dyDescent="0.4">
      <c r="A13" s="30">
        <v>2012</v>
      </c>
      <c r="B13" s="1" t="s">
        <v>114</v>
      </c>
      <c r="C13" s="1" t="s">
        <v>50</v>
      </c>
      <c r="D13" s="1" t="s">
        <v>42</v>
      </c>
      <c r="E13" s="1" t="s">
        <v>51</v>
      </c>
      <c r="F13" s="2">
        <v>35611</v>
      </c>
      <c r="G13" s="31">
        <v>45092</v>
      </c>
      <c r="H13" s="32" t="str">
        <f t="shared" si="0"/>
        <v>10%</v>
      </c>
      <c r="I13" s="32" t="str">
        <f t="shared" si="1"/>
        <v>Eligible</v>
      </c>
      <c r="J13" s="32" t="str">
        <f t="shared" si="2"/>
        <v>Jun</v>
      </c>
    </row>
    <row r="14" spans="1:22" ht="17.5" customHeight="1" thickBot="1" x14ac:dyDescent="0.4">
      <c r="A14" s="30">
        <v>2013</v>
      </c>
      <c r="B14" s="1" t="s">
        <v>115</v>
      </c>
      <c r="C14" s="1" t="s">
        <v>52</v>
      </c>
      <c r="D14" s="1" t="s">
        <v>40</v>
      </c>
      <c r="E14" s="1" t="s">
        <v>53</v>
      </c>
      <c r="F14" s="2">
        <v>15560</v>
      </c>
      <c r="G14" s="31">
        <v>45107</v>
      </c>
      <c r="H14" s="32" t="str">
        <f t="shared" si="0"/>
        <v>5%</v>
      </c>
      <c r="I14" s="32" t="str">
        <f t="shared" si="1"/>
        <v>Eligible</v>
      </c>
      <c r="J14" s="32" t="str">
        <f t="shared" si="2"/>
        <v>Aug</v>
      </c>
    </row>
    <row r="15" spans="1:22" ht="21.5" thickBot="1" x14ac:dyDescent="0.55000000000000004">
      <c r="A15" s="30">
        <v>2014</v>
      </c>
      <c r="B15" s="1" t="s">
        <v>116</v>
      </c>
      <c r="C15" s="1" t="s">
        <v>52</v>
      </c>
      <c r="D15" s="1" t="s">
        <v>33</v>
      </c>
      <c r="E15" s="1" t="s">
        <v>54</v>
      </c>
      <c r="F15" s="2">
        <v>7283</v>
      </c>
      <c r="G15" s="31">
        <v>45122</v>
      </c>
      <c r="H15" s="32" t="str">
        <f t="shared" si="0"/>
        <v>No Discount</v>
      </c>
      <c r="I15" s="32" t="str">
        <f t="shared" si="1"/>
        <v>Not Eligible</v>
      </c>
      <c r="J15" s="32" t="str">
        <f t="shared" si="2"/>
        <v>Dec</v>
      </c>
      <c r="M15" s="21" t="s">
        <v>127</v>
      </c>
      <c r="N15" s="22"/>
      <c r="O15" s="22"/>
      <c r="P15" s="22"/>
      <c r="Q15" s="22"/>
      <c r="R15" s="23"/>
      <c r="S15" s="23"/>
      <c r="T15" s="23"/>
      <c r="U15" s="37"/>
      <c r="V15" s="37"/>
    </row>
    <row r="16" spans="1:22" ht="17.5" customHeight="1" thickBot="1" x14ac:dyDescent="0.55000000000000004">
      <c r="A16" s="30">
        <v>2015</v>
      </c>
      <c r="B16" s="1" t="s">
        <v>117</v>
      </c>
      <c r="C16" s="1" t="s">
        <v>52</v>
      </c>
      <c r="D16" s="1" t="s">
        <v>40</v>
      </c>
      <c r="E16" s="1" t="s">
        <v>55</v>
      </c>
      <c r="F16" s="2">
        <v>15678</v>
      </c>
      <c r="G16" s="31">
        <v>45137</v>
      </c>
      <c r="H16" s="32" t="str">
        <f t="shared" si="0"/>
        <v>5%</v>
      </c>
      <c r="I16" s="32" t="str">
        <f t="shared" si="1"/>
        <v>Eligible</v>
      </c>
      <c r="J16" s="32" t="str">
        <f t="shared" si="2"/>
        <v>Dec</v>
      </c>
      <c r="M16" s="38" t="str">
        <f>_xlfn.XLOOKUP(35611,F2:F21,E2:E21,)</f>
        <v>Person 12</v>
      </c>
      <c r="N16" s="38"/>
      <c r="O16" s="38"/>
      <c r="P16" s="38"/>
      <c r="Q16" s="38"/>
      <c r="R16" s="38"/>
      <c r="S16" s="38"/>
      <c r="T16" s="38"/>
      <c r="U16" s="38"/>
      <c r="V16" s="38"/>
    </row>
    <row r="17" spans="1:18" ht="20" customHeight="1" thickBot="1" x14ac:dyDescent="0.4">
      <c r="A17" s="30">
        <v>2016</v>
      </c>
      <c r="B17" s="1" t="s">
        <v>118</v>
      </c>
      <c r="C17" s="1" t="s">
        <v>38</v>
      </c>
      <c r="D17" s="1" t="s">
        <v>40</v>
      </c>
      <c r="E17" s="1" t="s">
        <v>56</v>
      </c>
      <c r="F17" s="2">
        <v>5277</v>
      </c>
      <c r="G17" s="31">
        <v>45152</v>
      </c>
      <c r="H17" s="32" t="str">
        <f t="shared" si="0"/>
        <v>No Discount</v>
      </c>
      <c r="I17" s="32" t="str">
        <f t="shared" si="1"/>
        <v>Not Eligible</v>
      </c>
      <c r="J17" s="32" t="str">
        <f t="shared" si="2"/>
        <v>Jun</v>
      </c>
    </row>
    <row r="18" spans="1:18" ht="17" customHeight="1" thickBot="1" x14ac:dyDescent="0.4">
      <c r="A18" s="30">
        <v>2017</v>
      </c>
      <c r="B18" s="1" t="s">
        <v>119</v>
      </c>
      <c r="C18" s="1" t="s">
        <v>50</v>
      </c>
      <c r="D18" s="1" t="s">
        <v>42</v>
      </c>
      <c r="E18" s="1" t="s">
        <v>57</v>
      </c>
      <c r="F18" s="2">
        <v>41871</v>
      </c>
      <c r="G18" s="31">
        <v>45167</v>
      </c>
      <c r="H18" s="32" t="str">
        <f t="shared" si="0"/>
        <v>20%</v>
      </c>
      <c r="I18" s="32" t="str">
        <f t="shared" si="1"/>
        <v>Eligible</v>
      </c>
      <c r="J18" s="32" t="str">
        <f t="shared" si="2"/>
        <v>Aug</v>
      </c>
    </row>
    <row r="19" spans="1:18" ht="19" customHeight="1" thickBot="1" x14ac:dyDescent="0.55000000000000004">
      <c r="A19" s="30">
        <v>2018</v>
      </c>
      <c r="B19" s="1" t="s">
        <v>120</v>
      </c>
      <c r="C19" s="1" t="s">
        <v>50</v>
      </c>
      <c r="D19" s="1" t="s">
        <v>36</v>
      </c>
      <c r="E19" s="1" t="s">
        <v>58</v>
      </c>
      <c r="F19" s="2">
        <v>38161</v>
      </c>
      <c r="G19" s="31">
        <v>45182</v>
      </c>
      <c r="H19" s="32" t="str">
        <f t="shared" si="0"/>
        <v>10%</v>
      </c>
      <c r="I19" s="32" t="str">
        <f t="shared" si="1"/>
        <v>Eligible</v>
      </c>
      <c r="J19" s="32" t="str">
        <f t="shared" si="2"/>
        <v>Jun</v>
      </c>
      <c r="M19" s="21" t="s">
        <v>128</v>
      </c>
      <c r="N19" s="22"/>
      <c r="O19" s="22"/>
      <c r="P19" s="22"/>
      <c r="Q19" s="23"/>
      <c r="R19" s="37"/>
    </row>
    <row r="20" spans="1:18" ht="18" customHeight="1" thickBot="1" x14ac:dyDescent="0.55000000000000004">
      <c r="A20" s="30">
        <v>2019</v>
      </c>
      <c r="B20" s="1" t="s">
        <v>121</v>
      </c>
      <c r="C20" s="1" t="s">
        <v>38</v>
      </c>
      <c r="D20" s="1" t="s">
        <v>36</v>
      </c>
      <c r="E20" s="1" t="s">
        <v>59</v>
      </c>
      <c r="F20" s="2">
        <v>30436</v>
      </c>
      <c r="G20" s="31">
        <v>45197</v>
      </c>
      <c r="H20" s="32" t="str">
        <f t="shared" si="0"/>
        <v>10%</v>
      </c>
      <c r="I20" s="32" t="str">
        <f t="shared" si="1"/>
        <v>Eligible</v>
      </c>
      <c r="J20" s="32" t="str">
        <f t="shared" si="2"/>
        <v>Apr</v>
      </c>
      <c r="M20" s="38">
        <f>_xlfn.XMATCH("Mouse",C2:C21,0)</f>
        <v>3</v>
      </c>
      <c r="N20" s="38"/>
      <c r="O20" s="38"/>
      <c r="P20" s="38"/>
      <c r="Q20" s="38"/>
      <c r="R20" s="38"/>
    </row>
    <row r="21" spans="1:18" ht="18" customHeight="1" thickBot="1" x14ac:dyDescent="0.4">
      <c r="A21" s="30">
        <v>2020</v>
      </c>
      <c r="B21" s="1" t="s">
        <v>122</v>
      </c>
      <c r="C21" s="1" t="s">
        <v>35</v>
      </c>
      <c r="D21" s="1" t="s">
        <v>36</v>
      </c>
      <c r="E21" s="1" t="s">
        <v>60</v>
      </c>
      <c r="F21" s="2">
        <v>33953</v>
      </c>
      <c r="G21" s="31">
        <v>45212</v>
      </c>
      <c r="H21" s="32" t="str">
        <f t="shared" si="0"/>
        <v>10%</v>
      </c>
      <c r="I21" s="32" t="str">
        <f t="shared" si="1"/>
        <v>Eligible</v>
      </c>
      <c r="J21" s="32" t="str">
        <f t="shared" si="2"/>
        <v>Dec</v>
      </c>
    </row>
  </sheetData>
  <mergeCells count="5">
    <mergeCell ref="M4:S4"/>
    <mergeCell ref="M8:S8"/>
    <mergeCell ref="M12:U12"/>
    <mergeCell ref="M16:V16"/>
    <mergeCell ref="M20:R20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E3CFA-96F6-4047-934A-C791B5CD8536}">
  <dimension ref="A1:Q23"/>
  <sheetViews>
    <sheetView topLeftCell="C1" workbookViewId="0">
      <selection activeCell="I1" sqref="I1"/>
    </sheetView>
  </sheetViews>
  <sheetFormatPr defaultRowHeight="14.5" x14ac:dyDescent="0.35"/>
  <cols>
    <col min="1" max="1" width="13.6328125" customWidth="1"/>
    <col min="2" max="2" width="11.453125" bestFit="1" customWidth="1"/>
    <col min="3" max="3" width="13.54296875" customWidth="1"/>
    <col min="4" max="4" width="11.7265625" bestFit="1" customWidth="1"/>
    <col min="5" max="5" width="15.1796875" bestFit="1" customWidth="1"/>
    <col min="6" max="6" width="14.26953125" customWidth="1"/>
    <col min="11" max="11" width="11" bestFit="1" customWidth="1"/>
    <col min="12" max="12" width="16.54296875" bestFit="1" customWidth="1"/>
  </cols>
  <sheetData>
    <row r="1" spans="1:17" x14ac:dyDescent="0.35">
      <c r="A1" s="48" t="s">
        <v>61</v>
      </c>
      <c r="B1" s="49" t="s">
        <v>1</v>
      </c>
      <c r="C1" s="49" t="s">
        <v>62</v>
      </c>
      <c r="D1" s="50" t="s">
        <v>63</v>
      </c>
      <c r="E1" s="51" t="s">
        <v>64</v>
      </c>
      <c r="F1" s="52" t="s">
        <v>129</v>
      </c>
    </row>
    <row r="2" spans="1:17" ht="17.5" customHeight="1" x14ac:dyDescent="0.45">
      <c r="A2" s="41">
        <v>3001</v>
      </c>
      <c r="B2" s="4" t="s">
        <v>65</v>
      </c>
      <c r="C2" s="4" t="s">
        <v>66</v>
      </c>
      <c r="D2" s="40">
        <v>86766</v>
      </c>
      <c r="E2" s="5">
        <v>42005</v>
      </c>
      <c r="F2" s="42">
        <f ca="1">DATEDIF(E2,TODAY(),"d")</f>
        <v>4312</v>
      </c>
      <c r="I2" s="53" t="s">
        <v>130</v>
      </c>
      <c r="J2" s="54"/>
      <c r="K2" s="54"/>
      <c r="L2" s="54"/>
      <c r="M2" s="54"/>
      <c r="N2" s="23"/>
      <c r="O2" s="23"/>
    </row>
    <row r="3" spans="1:17" ht="17.5" customHeight="1" x14ac:dyDescent="0.35">
      <c r="A3" s="41">
        <v>3002</v>
      </c>
      <c r="B3" s="4" t="s">
        <v>67</v>
      </c>
      <c r="C3" s="4" t="s">
        <v>66</v>
      </c>
      <c r="D3" s="40">
        <v>31943</v>
      </c>
      <c r="E3" s="5">
        <v>42255</v>
      </c>
      <c r="F3" s="42">
        <f t="shared" ref="F3:F21" ca="1" si="0">DATEDIF(E3,TODAY(),"d")</f>
        <v>4062</v>
      </c>
    </row>
    <row r="4" spans="1:17" ht="17.5" customHeight="1" x14ac:dyDescent="0.5">
      <c r="A4" s="41">
        <v>3003</v>
      </c>
      <c r="B4" s="4" t="s">
        <v>68</v>
      </c>
      <c r="C4" s="4" t="s">
        <v>69</v>
      </c>
      <c r="D4" s="40">
        <v>63374</v>
      </c>
      <c r="E4" s="5">
        <v>42505</v>
      </c>
      <c r="F4" s="42">
        <f t="shared" ca="1" si="0"/>
        <v>3812</v>
      </c>
      <c r="K4" s="55" t="s">
        <v>131</v>
      </c>
      <c r="L4" s="56" t="str">
        <f>LEFT(B7,5)</f>
        <v>Emplo</v>
      </c>
    </row>
    <row r="5" spans="1:17" ht="17.5" customHeight="1" x14ac:dyDescent="0.5">
      <c r="A5" s="41">
        <v>3004</v>
      </c>
      <c r="B5" s="4" t="s">
        <v>70</v>
      </c>
      <c r="C5" s="4" t="s">
        <v>66</v>
      </c>
      <c r="D5" s="40">
        <v>109972</v>
      </c>
      <c r="E5" s="5">
        <v>42755</v>
      </c>
      <c r="F5" s="42">
        <f t="shared" ca="1" si="0"/>
        <v>3562</v>
      </c>
      <c r="K5" s="55" t="s">
        <v>132</v>
      </c>
      <c r="L5" s="58">
        <f>FIND("m",B8)</f>
        <v>2</v>
      </c>
    </row>
    <row r="6" spans="1:17" ht="17.5" customHeight="1" x14ac:dyDescent="0.35">
      <c r="A6" s="41">
        <v>3005</v>
      </c>
      <c r="B6" s="4" t="s">
        <v>71</v>
      </c>
      <c r="C6" s="4" t="s">
        <v>72</v>
      </c>
      <c r="D6" s="40">
        <v>54149</v>
      </c>
      <c r="E6" s="5">
        <v>43005</v>
      </c>
      <c r="F6" s="42">
        <f t="shared" ca="1" si="0"/>
        <v>3312</v>
      </c>
    </row>
    <row r="7" spans="1:17" ht="17.5" customHeight="1" x14ac:dyDescent="0.35">
      <c r="A7" s="41">
        <v>3006</v>
      </c>
      <c r="B7" s="4" t="s">
        <v>73</v>
      </c>
      <c r="C7" s="4" t="s">
        <v>72</v>
      </c>
      <c r="D7" s="40">
        <v>78689</v>
      </c>
      <c r="E7" s="5">
        <v>43255</v>
      </c>
      <c r="F7" s="42">
        <f t="shared" ca="1" si="0"/>
        <v>3062</v>
      </c>
    </row>
    <row r="8" spans="1:17" ht="17.5" customHeight="1" x14ac:dyDescent="0.5">
      <c r="A8" s="41">
        <v>3007</v>
      </c>
      <c r="B8" s="4" t="s">
        <v>74</v>
      </c>
      <c r="C8" s="4" t="s">
        <v>75</v>
      </c>
      <c r="D8" s="40">
        <v>35960</v>
      </c>
      <c r="E8" s="5">
        <v>43505</v>
      </c>
      <c r="F8" s="42">
        <f t="shared" ca="1" si="0"/>
        <v>2812</v>
      </c>
      <c r="I8" s="21" t="s">
        <v>133</v>
      </c>
      <c r="J8" s="22"/>
      <c r="K8" s="22"/>
      <c r="L8" s="22"/>
      <c r="M8" s="22"/>
      <c r="N8" s="22"/>
      <c r="O8" s="23"/>
      <c r="P8" s="23"/>
      <c r="Q8" s="23"/>
    </row>
    <row r="9" spans="1:17" ht="17.5" customHeight="1" x14ac:dyDescent="0.35">
      <c r="A9" s="41">
        <v>3008</v>
      </c>
      <c r="B9" s="4" t="s">
        <v>76</v>
      </c>
      <c r="C9" s="4" t="s">
        <v>72</v>
      </c>
      <c r="D9" s="40">
        <v>91659</v>
      </c>
      <c r="E9" s="5">
        <v>43755</v>
      </c>
      <c r="F9" s="42">
        <f t="shared" ca="1" si="0"/>
        <v>2562</v>
      </c>
    </row>
    <row r="10" spans="1:17" ht="17.5" customHeight="1" x14ac:dyDescent="0.5">
      <c r="A10" s="41">
        <v>3009</v>
      </c>
      <c r="B10" s="4" t="s">
        <v>77</v>
      </c>
      <c r="C10" s="4" t="s">
        <v>72</v>
      </c>
      <c r="D10" s="40">
        <v>90423</v>
      </c>
      <c r="E10" s="5">
        <v>44005</v>
      </c>
      <c r="F10" s="42">
        <f t="shared" ca="1" si="0"/>
        <v>2312</v>
      </c>
      <c r="K10" s="55" t="s">
        <v>134</v>
      </c>
      <c r="L10" s="56" t="str">
        <f>UPPER(B5)</f>
        <v>EMPLOYEE 4</v>
      </c>
    </row>
    <row r="11" spans="1:17" ht="17.5" customHeight="1" x14ac:dyDescent="0.5">
      <c r="A11" s="41">
        <v>3010</v>
      </c>
      <c r="B11" s="4" t="s">
        <v>78</v>
      </c>
      <c r="C11" s="4" t="s">
        <v>69</v>
      </c>
      <c r="D11" s="40">
        <v>107877</v>
      </c>
      <c r="E11" s="5">
        <v>44255</v>
      </c>
      <c r="F11" s="42">
        <f t="shared" ca="1" si="0"/>
        <v>2062</v>
      </c>
      <c r="K11" s="55" t="s">
        <v>135</v>
      </c>
      <c r="L11" s="57" t="str">
        <f>LOWER(B12)</f>
        <v>employee 11</v>
      </c>
    </row>
    <row r="12" spans="1:17" ht="17.5" customHeight="1" x14ac:dyDescent="0.35">
      <c r="A12" s="41">
        <v>3011</v>
      </c>
      <c r="B12" s="4" t="s">
        <v>79</v>
      </c>
      <c r="C12" s="4" t="s">
        <v>66</v>
      </c>
      <c r="D12" s="40">
        <v>107634</v>
      </c>
      <c r="E12" s="5">
        <v>44505</v>
      </c>
      <c r="F12" s="42">
        <f t="shared" ca="1" si="0"/>
        <v>1812</v>
      </c>
    </row>
    <row r="13" spans="1:17" ht="17.5" customHeight="1" x14ac:dyDescent="0.35">
      <c r="A13" s="41">
        <v>3012</v>
      </c>
      <c r="B13" s="4" t="s">
        <v>80</v>
      </c>
      <c r="C13" s="4" t="s">
        <v>66</v>
      </c>
      <c r="D13" s="40">
        <v>35226</v>
      </c>
      <c r="E13" s="5">
        <v>44755</v>
      </c>
      <c r="F13" s="42">
        <f t="shared" ca="1" si="0"/>
        <v>1562</v>
      </c>
    </row>
    <row r="14" spans="1:17" ht="17.5" customHeight="1" x14ac:dyDescent="0.45">
      <c r="A14" s="41">
        <v>3013</v>
      </c>
      <c r="B14" s="4" t="s">
        <v>81</v>
      </c>
      <c r="C14" s="4" t="s">
        <v>69</v>
      </c>
      <c r="D14" s="40">
        <v>40872</v>
      </c>
      <c r="E14" s="5">
        <v>45005</v>
      </c>
      <c r="F14" s="42">
        <f t="shared" ca="1" si="0"/>
        <v>1312</v>
      </c>
      <c r="I14" s="53" t="s">
        <v>136</v>
      </c>
      <c r="J14" s="54"/>
      <c r="K14" s="54"/>
      <c r="L14" s="54"/>
      <c r="M14" s="54"/>
      <c r="N14" s="23"/>
      <c r="O14" s="23"/>
      <c r="P14" s="37"/>
    </row>
    <row r="15" spans="1:17" ht="17.5" customHeight="1" x14ac:dyDescent="0.45">
      <c r="A15" s="41">
        <v>3014</v>
      </c>
      <c r="B15" s="4" t="s">
        <v>82</v>
      </c>
      <c r="C15" s="4" t="s">
        <v>69</v>
      </c>
      <c r="D15" s="40">
        <v>55378</v>
      </c>
      <c r="E15" s="5">
        <v>45255</v>
      </c>
      <c r="F15" s="42">
        <f t="shared" ca="1" si="0"/>
        <v>1062</v>
      </c>
      <c r="I15" s="59">
        <f>INDEX(A2:E21, MATCH("Employee 10", B2:B21, 0), MATCH("Salary", A1:E1, 0))</f>
        <v>107877</v>
      </c>
      <c r="J15" s="59"/>
      <c r="K15" s="59"/>
      <c r="L15" s="59"/>
      <c r="M15" s="59"/>
      <c r="N15" s="59"/>
      <c r="O15" s="59"/>
      <c r="P15" s="59"/>
    </row>
    <row r="16" spans="1:17" ht="17.5" customHeight="1" x14ac:dyDescent="0.35">
      <c r="A16" s="41">
        <v>3015</v>
      </c>
      <c r="B16" s="4" t="s">
        <v>83</v>
      </c>
      <c r="C16" s="4" t="s">
        <v>69</v>
      </c>
      <c r="D16" s="40">
        <v>63297</v>
      </c>
      <c r="E16" s="5">
        <v>45505</v>
      </c>
      <c r="F16" s="42">
        <f t="shared" ca="1" si="0"/>
        <v>812</v>
      </c>
    </row>
    <row r="17" spans="1:17" ht="17.5" customHeight="1" x14ac:dyDescent="0.35">
      <c r="A17" s="41">
        <v>3016</v>
      </c>
      <c r="B17" s="4" t="s">
        <v>84</v>
      </c>
      <c r="C17" s="4" t="s">
        <v>66</v>
      </c>
      <c r="D17" s="40">
        <v>114173</v>
      </c>
      <c r="E17" s="5">
        <v>45755</v>
      </c>
      <c r="F17" s="42">
        <f t="shared" ca="1" si="0"/>
        <v>562</v>
      </c>
    </row>
    <row r="18" spans="1:17" ht="17.5" customHeight="1" x14ac:dyDescent="0.5">
      <c r="A18" s="41">
        <v>3017</v>
      </c>
      <c r="B18" s="4" t="s">
        <v>85</v>
      </c>
      <c r="C18" s="4" t="s">
        <v>69</v>
      </c>
      <c r="D18" s="40">
        <v>86915</v>
      </c>
      <c r="E18" s="5">
        <v>46005</v>
      </c>
      <c r="F18" s="42">
        <f t="shared" ca="1" si="0"/>
        <v>312</v>
      </c>
      <c r="I18" s="21" t="s">
        <v>137</v>
      </c>
      <c r="J18" s="22"/>
      <c r="K18" s="22"/>
      <c r="L18" s="22"/>
      <c r="M18" s="22"/>
      <c r="N18" s="23"/>
      <c r="O18" s="23"/>
      <c r="P18" s="37"/>
      <c r="Q18" s="37"/>
    </row>
    <row r="19" spans="1:17" ht="17.5" customHeight="1" x14ac:dyDescent="0.45">
      <c r="A19" s="41">
        <v>3018</v>
      </c>
      <c r="B19" s="4" t="s">
        <v>86</v>
      </c>
      <c r="C19" s="4" t="s">
        <v>72</v>
      </c>
      <c r="D19" s="40">
        <v>116284</v>
      </c>
      <c r="E19" s="5">
        <v>46255</v>
      </c>
      <c r="F19" s="42">
        <v>1258</v>
      </c>
      <c r="I19" s="29">
        <f>_xlfn.XLOOKUP("Employee 6", B2:B21, D2:D21)</f>
        <v>78689</v>
      </c>
      <c r="J19" s="29"/>
      <c r="K19" s="29"/>
      <c r="L19" s="29"/>
      <c r="M19" s="29"/>
      <c r="N19" s="29"/>
      <c r="O19" s="29"/>
      <c r="P19" s="29"/>
      <c r="Q19" s="29"/>
    </row>
    <row r="20" spans="1:17" ht="17.5" customHeight="1" x14ac:dyDescent="0.35">
      <c r="A20" s="41">
        <v>3019</v>
      </c>
      <c r="B20" s="4" t="s">
        <v>87</v>
      </c>
      <c r="C20" s="4" t="s">
        <v>75</v>
      </c>
      <c r="D20" s="40">
        <v>116283</v>
      </c>
      <c r="E20" s="5">
        <v>46505</v>
      </c>
      <c r="F20" s="42">
        <v>893</v>
      </c>
    </row>
    <row r="21" spans="1:17" ht="17.5" customHeight="1" x14ac:dyDescent="0.35">
      <c r="A21" s="43">
        <v>3020</v>
      </c>
      <c r="B21" s="44" t="s">
        <v>88</v>
      </c>
      <c r="C21" s="44" t="s">
        <v>75</v>
      </c>
      <c r="D21" s="45">
        <v>99924</v>
      </c>
      <c r="E21" s="46">
        <v>46755</v>
      </c>
      <c r="F21" s="47">
        <v>677</v>
      </c>
    </row>
    <row r="22" spans="1:17" ht="21" x14ac:dyDescent="0.5">
      <c r="I22" s="21" t="s">
        <v>138</v>
      </c>
      <c r="J22" s="22"/>
      <c r="K22" s="22"/>
      <c r="L22" s="22"/>
      <c r="M22" s="23"/>
      <c r="N22" s="23"/>
      <c r="O22" s="37"/>
    </row>
    <row r="23" spans="1:17" ht="21" customHeight="1" x14ac:dyDescent="0.45">
      <c r="I23" s="29">
        <f ca="1">SUM(INDIRECT("E2:E21"))</f>
        <v>887600</v>
      </c>
      <c r="J23" s="29"/>
      <c r="K23" s="29"/>
      <c r="L23" s="29"/>
      <c r="M23" s="29"/>
      <c r="N23" s="29"/>
      <c r="O23" s="29"/>
    </row>
  </sheetData>
  <mergeCells count="3">
    <mergeCell ref="I15:P15"/>
    <mergeCell ref="I19:Q19"/>
    <mergeCell ref="I23:O2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grade</vt:lpstr>
      <vt:lpstr>sale data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BHAVIKA THADANI</dc:creator>
  <cp:lastModifiedBy>BHAVIKA THADANI</cp:lastModifiedBy>
  <dcterms:created xsi:type="dcterms:W3CDTF">2026-10-21T02:45:47Z</dcterms:created>
  <dcterms:modified xsi:type="dcterms:W3CDTF">2026-10-22T03:46:55Z</dcterms:modified>
</cp:coreProperties>
</file>